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.santiago\Documents\MANUT REDUT INPASA 2026\teste python\DATABOOK_INPASA_EXCEL_GITHUB_COMPLETO\DATABOOK_INPASA_EXCEL_GITHUB\CALDEIRA 1\"/>
    </mc:Choice>
  </mc:AlternateContent>
  <xr:revisionPtr revIDLastSave="0" documentId="13_ncr:1_{4D81C64A-3459-4573-BB14-3FFA3C2304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quipamentos" sheetId="1" r:id="rId1"/>
    <sheet name="Instrucoes" sheetId="2" r:id="rId2"/>
  </sheets>
  <externalReferences>
    <externalReference r:id="rId3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<sst xmlns="http://schemas.openxmlformats.org/spreadsheetml/2006/main" count="59" uniqueCount="50">
  <si>
    <t>TAG</t>
  </si>
  <si>
    <t>Fabricante</t>
  </si>
  <si>
    <t>Tipo</t>
  </si>
  <si>
    <t>Modelo</t>
  </si>
  <si>
    <t>Potencia</t>
  </si>
  <si>
    <t>Relacao</t>
  </si>
  <si>
    <t>RPM</t>
  </si>
  <si>
    <t>Montagem</t>
  </si>
  <si>
    <t>Lubrificante</t>
  </si>
  <si>
    <t>Quantidade_Oleo</t>
  </si>
  <si>
    <t>Local</t>
  </si>
  <si>
    <t>Foto</t>
  </si>
  <si>
    <t>Lista_Pecas</t>
  </si>
  <si>
    <t>Manual</t>
  </si>
  <si>
    <t>Fotos_Adicionais</t>
  </si>
  <si>
    <t>Observacoes</t>
  </si>
  <si>
    <t>INSTRUÇÕES DE USO</t>
  </si>
  <si>
    <t>1</t>
  </si>
  <si>
    <t>Preencha os dados na aba Equipamentos.</t>
  </si>
  <si>
    <t>2</t>
  </si>
  <si>
    <t>Mantenha a coluna TAG sem repetir valores.</t>
  </si>
  <si>
    <t>3</t>
  </si>
  <si>
    <t>Coloque fotos na pasta assets/img/.</t>
  </si>
  <si>
    <t>4</t>
  </si>
  <si>
    <t>Coloque PDFs na pasta assets/pdf/.</t>
  </si>
  <si>
    <t>5</t>
  </si>
  <si>
    <t>Os caminhos no Excel devem começar com assets/img/ ou assets/pdf/.</t>
  </si>
  <si>
    <t>6</t>
  </si>
  <si>
    <t>Abra gerar_site.py e altere BASE_URL com o link real do GitHub Pages.</t>
  </si>
  <si>
    <t>7</t>
  </si>
  <si>
    <t>Rode no terminal: python gerar_site.py</t>
  </si>
  <si>
    <t>8</t>
  </si>
  <si>
    <t>Após gerar, envie tudo ao GitHub.</t>
  </si>
  <si>
    <t>EXEMPLO DE LINK FINAL</t>
  </si>
  <si>
    <t>https://SEU_USUARIO.github.io/NOME_REPOSITORIO/equipamentos/ME-631011/</t>
  </si>
  <si>
    <t>WEG CESTARI</t>
  </si>
  <si>
    <t>ISO VG 220</t>
  </si>
  <si>
    <t>M1</t>
  </si>
  <si>
    <t>assets/img/redutorc10.png</t>
  </si>
  <si>
    <t xml:space="preserve"> assets/pdf/manualcoaxial.pdf</t>
  </si>
  <si>
    <t>TAG Nº</t>
  </si>
  <si>
    <t>RELATORIO FINAL</t>
  </si>
  <si>
    <t>RE-401012</t>
  </si>
  <si>
    <t>C62344NA00GAW</t>
  </si>
  <si>
    <t>*****MOTOR 5 CV 4 POLOS</t>
  </si>
  <si>
    <t>5,3 L</t>
  </si>
  <si>
    <t xml:space="preserve"> assets/pdf/LP401012825139.pdf</t>
  </si>
  <si>
    <t>RE-401013</t>
  </si>
  <si>
    <t xml:space="preserve"> assets/pdf/LP1041013825141.pdf</t>
  </si>
  <si>
    <t>EM EQUIPAMENTO SENDO DESMONTADO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</si>
</sst>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4AF37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PAGINAS%20WEB\MOTORES\equipcaldeira1-INPASA.xlsx" TargetMode="External"/><Relationship Id="rId1" Type="http://schemas.openxmlformats.org/officeDocument/2006/relationships/externalLinkPath" Target="file:///P:\PAGINAS%20WEB\MOTORES\equipcaldeira1-INP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pamentos"/>
      <sheetName val="Instrucoes"/>
      <sheetName val="equipcaldeira1-INPASA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quipamentos" displayName="TabelaEquipamentos" ref="A1:R69" headerRowDxfId="24" dataDxfId="23" totalsRowDxfId="22">
  <autoFilter ref="A1:R69" xr:uid="{00000000-000C-0000-FFFF-FFFF00000000}"/>
  <tableColumns count="18">
    <tableColumn id="1" xr3:uid="{00000000-0010-0000-0000-000001000000}" name="TAG" dataDxfId="21"/>
    <tableColumn id="19" xr3:uid="{726DCCAF-1417-462D-BD10-A9FED761ADBD}" name="Fabricante" dataDxfId="20"/>
    <tableColumn id="2" xr3:uid="{00000000-0010-0000-0000-000002000000}" name="Tipo" dataDxfId="19">
      <calculatedColumnFormula>CONCATENATE("MOTOREDUTOR"," ",TabelaEquipamentos[[#This Row],[Fabricante]])</calculatedColumnFormula>
    </tableColumn>
    <tableColumn id="3" xr3:uid="{00000000-0010-0000-0000-000003000000}" name="Modelo" dataDxfId="18"/>
    <tableColumn id="4" xr3:uid="{00000000-0010-0000-0000-000004000000}" name="Potencia" dataDxfId="17"/>
    <tableColumn id="5" xr3:uid="{00000000-0010-0000-0000-000005000000}" name="Relacao" dataDxfId="16"/>
    <tableColumn id="6" xr3:uid="{00000000-0010-0000-0000-000006000000}" name="RPM" dataDxfId="15"/>
    <tableColumn id="7" xr3:uid="{00000000-0010-0000-0000-000007000000}" name="Montagem" dataDxfId="14"/>
    <tableColumn id="8" xr3:uid="{00000000-0010-0000-0000-000008000000}" name="Lubrificante" dataDxfId="13"/>
    <tableColumn id="9" xr3:uid="{00000000-0010-0000-0000-000009000000}" name="Quantidade_Oleo" dataDxfId="12"/>
    <tableColumn id="10" xr3:uid="{00000000-0010-0000-0000-00000A000000}" name="Local" dataDxfId="11"/>
    <tableColumn id="11" xr3:uid="{00000000-0010-0000-0000-00000B000000}" name="Foto" dataDxfId="10"/>
    <tableColumn id="12" xr3:uid="{00000000-0010-0000-0000-00000C000000}" name="Lista_Pecas" dataDxfId="9"/>
    <tableColumn id="13" xr3:uid="{00000000-0010-0000-0000-00000D000000}" name="Manual" dataDxfId="8"/>
    <tableColumn id="14" xr3:uid="{00000000-0010-0000-0000-00000E000000}" name="RELATORIO FINAL" dataDxfId="7"/>
    <tableColumn id="15" xr3:uid="{00000000-0010-0000-0000-00000F000000}" name="Fotos_Adicionais" dataDxfId="6"/>
    <tableColumn id="16" xr3:uid="{00000000-0010-0000-0000-000010000000}" name="Observacoes" dataDxfId="5"/>
    <tableColumn id="17" xr3:uid="{00000000-0010-0000-0000-000011000000}" name="TAG Nº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tabSelected="1" zoomScale="85" zoomScaleNormal="85" workbookViewId="0">
      <pane xSplit="6" ySplit="1" topLeftCell="M2" activePane="bottomRight" state="frozen"/>
      <selection pane="topRight" activeCell="F1" sqref="F1"/>
      <selection pane="bottomLeft" activeCell="A2" sqref="A2"/>
      <selection pane="bottomRight" activeCell="Q3" sqref="Q3"/>
    </sheetView>
  </sheetViews>
  <sheetFormatPr defaultRowHeight="14.25"/>
  <cols>
    <col min="1" max="1" width="14.875" style="2" customWidth="1"/>
    <col min="2" max="2" width="13.75" style="2" customWidth="1"/>
    <col min="3" max="3" width="16.75" style="2" customWidth="1"/>
    <col min="4" max="4" width="17.125" style="2" customWidth="1"/>
    <col min="5" max="5" width="16.625" style="2" customWidth="1"/>
    <col min="6" max="6" width="14" style="2" customWidth="1"/>
    <col min="7" max="7" width="12.125" style="2" customWidth="1"/>
    <col min="8" max="8" width="8.25" style="2" customWidth="1"/>
    <col min="9" max="9" width="12.625" style="2" customWidth="1"/>
    <col min="10" max="10" width="13.5" style="2" customWidth="1"/>
    <col min="11" max="11" width="15.75" style="2" customWidth="1"/>
    <col min="12" max="12" width="9.25" style="2" bestFit="1" customWidth="1"/>
    <col min="13" max="13" width="24.125" style="2" customWidth="1"/>
    <col min="14" max="14" width="11.75" style="2" bestFit="1" customWidth="1"/>
    <col min="15" max="15" width="18" style="2" customWidth="1"/>
    <col min="16" max="16" width="10.625" style="2" customWidth="1"/>
    <col min="17" max="17" width="20.125" style="2" bestFit="1" customWidth="1"/>
    <col min="18" max="18" width="32" style="2" customWidth="1"/>
    <col min="19" max="16384" width="9" style="2"/>
  </cols>
  <sheetData>
    <row r="1" spans="1:1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41</v>
      </c>
      <c r="P1" s="1" t="s">
        <v>14</v>
      </c>
      <c r="Q1" s="1" t="s">
        <v>15</v>
      </c>
      <c r="R1" s="2" t="s">
        <v>40</v>
      </c>
    </row>
    <row r="2" spans="1:18" s="8" customFormat="1" ht="57">
      <c r="A2" s="4" t="s">
        <v>42</v>
      </c>
      <c r="B2" s="4" t="s">
        <v>35</v>
      </c>
      <c r="C2" s="4" t="str">
        <f>CONCATENATE("MOTOREDUTOR"," ",[1]!TabelaEquipamentos3[[#This Row],[Fabricante]])</f>
        <v>MOTOREDUTOR WEG CESTARI</v>
      </c>
      <c r="D2" s="4" t="s">
        <v>43</v>
      </c>
      <c r="E2" s="4" t="s">
        <v>44</v>
      </c>
      <c r="F2" s="4">
        <v>162</v>
      </c>
      <c r="G2" s="4">
        <v>1750</v>
      </c>
      <c r="H2" s="4" t="s">
        <v>37</v>
      </c>
      <c r="I2" s="4" t="s">
        <v>36</v>
      </c>
      <c r="J2" s="4" t="s">
        <v>45</v>
      </c>
      <c r="K2" s="4"/>
      <c r="L2" s="4" t="s">
        <v>38</v>
      </c>
      <c r="M2" s="3" t="s">
        <v>46</v>
      </c>
      <c r="N2" s="4" t="s">
        <v>39</v>
      </c>
      <c r="O2" s="4"/>
      <c r="P2" s="4"/>
      <c r="Q2" s="4" t="s">
        <v>49</v>
      </c>
    </row>
    <row r="3" spans="1:18" s="8" customFormat="1" ht="57">
      <c r="A3" s="4" t="s">
        <v>47</v>
      </c>
      <c r="B3" s="4" t="s">
        <v>35</v>
      </c>
      <c r="C3" s="4" t="str">
        <f>CONCATENATE("MOTOREDUTOR"," ",[1]!TabelaEquipamentos3[[#This Row],[Fabricante]])</f>
        <v>MOTOREDUTOR WEG CESTARI</v>
      </c>
      <c r="D3" s="4" t="s">
        <v>43</v>
      </c>
      <c r="E3" s="4" t="s">
        <v>44</v>
      </c>
      <c r="F3" s="4">
        <v>162</v>
      </c>
      <c r="G3" s="4">
        <v>1750</v>
      </c>
      <c r="H3" s="4" t="s">
        <v>37</v>
      </c>
      <c r="I3" s="4" t="s">
        <v>36</v>
      </c>
      <c r="J3" s="4" t="s">
        <v>45</v>
      </c>
      <c r="K3" s="4"/>
      <c r="L3" s="4" t="s">
        <v>38</v>
      </c>
      <c r="M3" s="3" t="s">
        <v>48</v>
      </c>
      <c r="N3" s="4" t="s">
        <v>39</v>
      </c>
      <c r="O3" s="4"/>
      <c r="P3" s="4"/>
      <c r="Q3" s="4" t="s">
        <v>49</v>
      </c>
    </row>
    <row r="4" spans="1:18" ht="2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4"/>
      <c r="B68" s="5"/>
      <c r="C68" s="6"/>
      <c r="D68" s="6"/>
      <c r="E68" s="6"/>
      <c r="F68" s="6"/>
      <c r="G68" s="6"/>
      <c r="H68" s="6"/>
      <c r="I68" s="7"/>
      <c r="J68" s="7"/>
      <c r="K68" s="6"/>
      <c r="L68" s="3"/>
      <c r="M68" s="3"/>
      <c r="N68" s="3"/>
      <c r="O68" s="3"/>
      <c r="P68" s="3"/>
      <c r="Q68" s="6"/>
    </row>
    <row r="69" spans="1:17">
      <c r="A69" s="6"/>
      <c r="B69" s="6"/>
      <c r="C69" s="6"/>
      <c r="D69" s="6"/>
      <c r="E69" s="6"/>
      <c r="F69" s="6"/>
      <c r="G69" s="7"/>
      <c r="H69" s="7"/>
      <c r="I69" s="7"/>
      <c r="J69" s="7"/>
      <c r="K69" s="7"/>
      <c r="L69" s="3"/>
      <c r="M69" s="3"/>
      <c r="N69" s="3"/>
      <c r="O69" s="3"/>
      <c r="P69" s="3"/>
      <c r="Q69" s="6"/>
    </row>
  </sheetData>
  <phoneticPr fontId="3" type="noConversion"/>
  <conditionalFormatting sqref="B70:B1048576">
    <cfRule type="duplicateValues" dxfId="3" priority="14"/>
  </conditionalFormatting>
  <conditionalFormatting sqref="R1">
    <cfRule type="duplicateValues" dxfId="2" priority="15"/>
  </conditionalFormatting>
  <conditionalFormatting sqref="R2:R3">
    <cfRule type="duplicateValues" dxfId="1" priority="1"/>
  </conditionalFormatting>
  <conditionalFormatting sqref="R4:R69">
    <cfRule type="duplicateValues" dxfId="0" priority="24"/>
  </conditionalFormatting>
  <pageMargins left="0.70866141732283472" right="0.70866141732283472" top="0.74803149606299213" bottom="0.74803149606299213" header="0.31496062992125984" footer="0.31496062992125984"/>
  <pageSetup paperSize="9" scale="4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4.25"/>
  <cols>
    <col min="1" max="1" width="66.125" customWidth="1"/>
    <col min="2" max="2" width="80" customWidth="1"/>
  </cols>
  <sheetData>
    <row r="1" spans="1:2" ht="15">
      <c r="A1" s="9" t="s">
        <v>16</v>
      </c>
      <c r="B1" s="9"/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32</v>
      </c>
    </row>
    <row r="12" spans="1:2">
      <c r="A12" t="s">
        <v>33</v>
      </c>
    </row>
    <row r="13" spans="1:2">
      <c r="A13" t="s">
        <v>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Equipamentos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Santiago</dc:creator>
  <cp:lastModifiedBy>Andre Santiago</cp:lastModifiedBy>
  <cp:lastPrinted>2026-06-23T11:09:47Z</cp:lastPrinted>
  <dcterms:created xsi:type="dcterms:W3CDTF">2026-06-09T19:30:54Z</dcterms:created>
  <dcterms:modified xsi:type="dcterms:W3CDTF">2026-10-19T14:50:50Z</dcterms:modified>
</cp:coreProperties>
</file>